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rontend Tentative Schedule" sheetId="1" state="visible" r:id="rId1"/>
    <sheet name="Backend Tentative Schedule" sheetId="2" state="visible" r:id="rId2"/>
    <sheet name="Backend Progress Tracker" sheetId="3" state="visible" r:id="rId3"/>
  </sheets>
  <externalReferences>
    <externalReference r:id="rId4"/>
  </externalReferences>
  <definedNames>
    <definedName name="_xlnm._FilterDatabase" localSheetId="2" hidden="1">'Backend Progress Tracker'!$A$1:$D$57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color rgb="FF595959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  <font>
      <name val="Calibri"/>
      <b val="1"/>
      <color rgb="FF1F4E79"/>
      <sz val="11"/>
    </font>
    <font>
      <name val="Calibri"/>
      <b val="1"/>
      <sz val="11"/>
    </font>
    <font>
      <name val="Calibri"/>
      <b val="1"/>
      <color rgb="FF1F4E79"/>
      <sz val="28"/>
    </font>
    <font>
      <name val="Calibri"/>
      <b val="1"/>
      <sz val="22"/>
    </font>
    <font>
      <b val="1"/>
      <color rgb="FFFFFFFF"/>
      <sz val="11"/>
    </font>
    <font>
      <b val="1"/>
      <sz val="10"/>
    </font>
    <font>
      <i val="1"/>
      <color rgb="FF666666"/>
      <sz val="9"/>
    </font>
    <font/>
    <font>
      <b val="1"/>
      <color rgb="FF1F4E79"/>
      <sz val="11"/>
    </font>
    <font>
      <b val="1"/>
      <sz val="11"/>
    </font>
    <font>
      <b val="1"/>
      <color rgb="FF1F4E79"/>
      <sz val="28"/>
    </font>
    <font>
      <b val="1"/>
      <sz val="22"/>
    </font>
    <font>
      <i val="1"/>
      <color rgb="FF666666"/>
      <sz val="10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E2D5F1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6EAF8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/>
  </borders>
  <cellStyleXfs count="1">
    <xf numFmtId="0" fontId="0" fillId="0" borderId="0"/>
  </cellStyleXfs>
  <cellXfs count="103">
    <xf numFmtId="0" fontId="0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pivotButton="0" quotePrefix="0" xfId="0"/>
    <xf numFmtId="164" fontId="0" fillId="8" borderId="1" pivotButton="0" quotePrefix="0" xfId="0"/>
    <xf numFmtId="0" fontId="0" fillId="8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pivotButton="0" quotePrefix="0" xfId="0"/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0" fillId="1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9" fontId="7" fillId="1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6" fillId="4" borderId="1" pivotButton="0" quotePrefix="0" xfId="0"/>
    <xf numFmtId="9" fontId="0" fillId="4" borderId="1" applyAlignment="1" pivotButton="0" quotePrefix="0" xfId="0">
      <alignment horizontal="center"/>
    </xf>
    <xf numFmtId="0" fontId="6" fillId="8" borderId="1" pivotButton="0" quotePrefix="0" xfId="0"/>
    <xf numFmtId="9" fontId="0" fillId="8" borderId="1" applyAlignment="1" pivotButton="0" quotePrefix="0" xfId="0">
      <alignment horizontal="center"/>
    </xf>
    <xf numFmtId="0" fontId="6" fillId="5" borderId="1" pivotButton="0" quotePrefix="0" xfId="0"/>
    <xf numFmtId="9" fontId="0" fillId="5" borderId="1" applyAlignment="1" pivotButton="0" quotePrefix="0" xfId="0">
      <alignment horizontal="center"/>
    </xf>
    <xf numFmtId="0" fontId="6" fillId="6" borderId="1" pivotButton="0" quotePrefix="0" xfId="0"/>
    <xf numFmtId="9" fontId="0" fillId="6" borderId="1" applyAlignment="1" pivotButton="0" quotePrefix="0" xfId="0">
      <alignment horizontal="center"/>
    </xf>
    <xf numFmtId="0" fontId="6" fillId="7" borderId="1" pivotButton="0" quotePrefix="0" xfId="0"/>
    <xf numFmtId="9" fontId="0" fillId="7" borderId="1" applyAlignment="1" pivotButton="0" quotePrefix="0" xfId="0">
      <alignment horizontal="center"/>
    </xf>
    <xf numFmtId="0" fontId="6" fillId="9" borderId="1" pivotButton="0" quotePrefix="0" xfId="0"/>
    <xf numFmtId="0" fontId="0" fillId="9" borderId="1" applyAlignment="1" pivotButton="0" quotePrefix="0" xfId="0">
      <alignment horizontal="center"/>
    </xf>
    <xf numFmtId="9" fontId="0" fillId="9" borderId="1" applyAlignment="1" pivotButton="0" quotePrefix="0" xfId="0">
      <alignment horizontal="center"/>
    </xf>
    <xf numFmtId="0" fontId="6" fillId="2" borderId="1" pivotButton="0" quotePrefix="0" xfId="0"/>
    <xf numFmtId="0" fontId="0" fillId="2" borderId="1" applyAlignment="1" pivotButton="0" quotePrefix="0" xfId="0">
      <alignment horizontal="center"/>
    </xf>
    <xf numFmtId="9" fontId="0" fillId="2" borderId="1" applyAlignment="1" pivotButton="0" quotePrefix="0" xfId="0">
      <alignment horizontal="center"/>
    </xf>
    <xf numFmtId="0" fontId="6" fillId="10" borderId="1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17" fillId="0" borderId="0" pivotButton="0" quotePrefix="0" xfId="0"/>
    <xf numFmtId="0" fontId="12" fillId="0" borderId="3" pivotButton="0" quotePrefix="0" xfId="0"/>
    <xf numFmtId="0" fontId="13" fillId="0" borderId="3" applyAlignment="1" pivotButton="0" quotePrefix="0" xfId="0">
      <alignment horizontal="center"/>
    </xf>
    <xf numFmtId="0" fontId="14" fillId="2" borderId="3" applyAlignment="1" pivotButton="0" quotePrefix="0" xfId="0">
      <alignment horizontal="center"/>
    </xf>
    <xf numFmtId="0" fontId="14" fillId="14" borderId="3" applyAlignment="1" pivotButton="0" quotePrefix="0" xfId="0">
      <alignment horizontal="center"/>
    </xf>
    <xf numFmtId="0" fontId="14" fillId="15" borderId="3" applyAlignment="1" pivotButton="0" quotePrefix="0" xfId="0">
      <alignment horizontal="center"/>
    </xf>
    <xf numFmtId="9" fontId="15" fillId="13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4" fillId="4" borderId="2" pivotButton="0" quotePrefix="0" xfId="0"/>
    <xf numFmtId="0" fontId="12" fillId="4" borderId="2" applyAlignment="1" pivotButton="0" quotePrefix="0" xfId="0">
      <alignment horizontal="center" vertical="center"/>
    </xf>
    <xf numFmtId="9" fontId="12" fillId="4" borderId="2" applyAlignment="1" pivotButton="0" quotePrefix="0" xfId="0">
      <alignment horizontal="center" vertical="center"/>
    </xf>
    <xf numFmtId="0" fontId="14" fillId="5" borderId="2" pivotButton="0" quotePrefix="0" xfId="0"/>
    <xf numFmtId="0" fontId="12" fillId="5" borderId="2" applyAlignment="1" pivotButton="0" quotePrefix="0" xfId="0">
      <alignment horizontal="center" vertical="center"/>
    </xf>
    <xf numFmtId="9" fontId="12" fillId="5" borderId="2" applyAlignment="1" pivotButton="0" quotePrefix="0" xfId="0">
      <alignment horizontal="center" vertical="center"/>
    </xf>
    <xf numFmtId="0" fontId="14" fillId="6" borderId="2" pivotButton="0" quotePrefix="0" xfId="0"/>
    <xf numFmtId="0" fontId="12" fillId="6" borderId="2" applyAlignment="1" pivotButton="0" quotePrefix="0" xfId="0">
      <alignment horizontal="center" vertical="center"/>
    </xf>
    <xf numFmtId="9" fontId="12" fillId="6" borderId="2" applyAlignment="1" pivotButton="0" quotePrefix="0" xfId="0">
      <alignment horizontal="center" vertical="center"/>
    </xf>
    <xf numFmtId="0" fontId="14" fillId="7" borderId="2" pivotButton="0" quotePrefix="0" xfId="0"/>
    <xf numFmtId="0" fontId="12" fillId="7" borderId="2" applyAlignment="1" pivotButton="0" quotePrefix="0" xfId="0">
      <alignment horizontal="center" vertical="center"/>
    </xf>
    <xf numFmtId="9" fontId="12" fillId="7" borderId="2" applyAlignment="1" pivotButton="0" quotePrefix="0" xfId="0">
      <alignment horizontal="center" vertical="center"/>
    </xf>
    <xf numFmtId="0" fontId="14" fillId="9" borderId="2" pivotButton="0" quotePrefix="0" xfId="0"/>
    <xf numFmtId="0" fontId="12" fillId="9" borderId="2" applyAlignment="1" pivotButton="0" quotePrefix="0" xfId="0">
      <alignment horizontal="center" vertical="center"/>
    </xf>
    <xf numFmtId="9" fontId="12" fillId="9" borderId="2" applyAlignment="1" pivotButton="0" quotePrefix="0" xfId="0">
      <alignment horizontal="center" vertical="center"/>
    </xf>
    <xf numFmtId="0" fontId="14" fillId="2" borderId="2" pivotButton="0" quotePrefix="0" xfId="0"/>
    <xf numFmtId="0" fontId="12" fillId="2" borderId="2" applyAlignment="1" pivotButton="0" quotePrefix="0" xfId="0">
      <alignment horizontal="center" vertical="center"/>
    </xf>
    <xf numFmtId="9" fontId="12" fillId="2" borderId="2" applyAlignment="1" pivotButton="0" quotePrefix="0" xfId="0">
      <alignment horizontal="center" vertical="center"/>
    </xf>
    <xf numFmtId="0" fontId="14" fillId="10" borderId="2" pivotButton="0" quotePrefix="0" xfId="0"/>
    <xf numFmtId="0" fontId="12" fillId="10" borderId="2" applyAlignment="1" pivotButton="0" quotePrefix="0" xfId="0">
      <alignment horizontal="center" vertical="center"/>
    </xf>
    <xf numFmtId="9" fontId="12" fillId="10" borderId="2" applyAlignment="1" pivotButton="0" quotePrefix="0" xfId="0">
      <alignment horizontal="center" vertical="center"/>
    </xf>
    <xf numFmtId="0" fontId="10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9" fontId="0" fillId="0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vertical="center" wrapText="1"/>
    </xf>
    <xf numFmtId="0" fontId="0" fillId="1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10" fillId="10" borderId="2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xampp/htdocs/leaveforms-frontend/docs/FRONTEND_LEADER_TRACKER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"/>
      <sheetName val="Tentative Schedule"/>
      <sheetName val="Progress Tracker"/>
      <sheetName val="How to use"/>
    </sheetNames>
    <sheetDataSet>
      <sheetData sheetId="0"/>
      <sheetData sheetId="1"/>
      <sheetData sheetId="2">
        <row r="1">
          <cell r="A1" t="str">
            <v>Section</v>
          </cell>
          <cell r="F1" t="str">
            <v>Status</v>
          </cell>
          <cell r="G1" t="str">
            <v>Progress %</v>
          </cell>
        </row>
        <row r="2">
          <cell r="A2" t="str">
            <v>1. Project Setup</v>
          </cell>
          <cell r="F2" t="str">
            <v>Completed</v>
          </cell>
          <cell r="G2">
            <v>1</v>
          </cell>
        </row>
        <row r="3">
          <cell r="A3" t="str">
            <v>1. Project Setup</v>
          </cell>
          <cell r="F3" t="str">
            <v>Completed</v>
          </cell>
          <cell r="G3">
            <v>1</v>
          </cell>
        </row>
        <row r="4">
          <cell r="A4" t="str">
            <v>1. Project Setup</v>
          </cell>
          <cell r="F4" t="str">
            <v>Completed</v>
          </cell>
          <cell r="G4">
            <v>1</v>
          </cell>
        </row>
        <row r="5">
          <cell r="A5" t="str">
            <v>2. Core App Shell</v>
          </cell>
          <cell r="F5" t="str">
            <v>Completed</v>
          </cell>
          <cell r="G5">
            <v>1</v>
          </cell>
        </row>
        <row r="6">
          <cell r="A6" t="str">
            <v>2. Core App Shell</v>
          </cell>
          <cell r="F6" t="str">
            <v>In Progress</v>
          </cell>
          <cell r="G6">
            <v>0.5</v>
          </cell>
        </row>
        <row r="7">
          <cell r="A7" t="str">
            <v>2. Core App Shell</v>
          </cell>
          <cell r="F7" t="str">
            <v>Not Started</v>
          </cell>
          <cell r="G7">
            <v>0</v>
          </cell>
        </row>
        <row r="8">
          <cell r="A8" t="str">
            <v>2. Core App Shell</v>
          </cell>
          <cell r="F8" t="str">
            <v>Not Started</v>
          </cell>
          <cell r="G8">
            <v>0</v>
          </cell>
        </row>
        <row r="9">
          <cell r="A9" t="str">
            <v>3. Employee Features</v>
          </cell>
          <cell r="F9" t="str">
            <v>Not Started</v>
          </cell>
          <cell r="G9">
            <v>0</v>
          </cell>
        </row>
        <row r="10">
          <cell r="A10" t="str">
            <v>3. Employee Features</v>
          </cell>
          <cell r="F10" t="str">
            <v>Not Started</v>
          </cell>
          <cell r="G10">
            <v>0</v>
          </cell>
        </row>
        <row r="11">
          <cell r="A11" t="str">
            <v>3. Employee Features</v>
          </cell>
          <cell r="F11" t="str">
            <v>Not Started</v>
          </cell>
          <cell r="G11">
            <v>0</v>
          </cell>
        </row>
        <row r="12">
          <cell r="A12" t="str">
            <v>3. Employee Features</v>
          </cell>
          <cell r="F12" t="str">
            <v>Not Started</v>
          </cell>
          <cell r="G12">
            <v>0</v>
          </cell>
        </row>
        <row r="13">
          <cell r="A13" t="str">
            <v>3. Employee Features</v>
          </cell>
          <cell r="F13" t="str">
            <v>Not Started</v>
          </cell>
          <cell r="G13">
            <v>0</v>
          </cell>
        </row>
        <row r="14">
          <cell r="A14" t="str">
            <v>3. Employee Features</v>
          </cell>
          <cell r="F14" t="str">
            <v>Not Started</v>
          </cell>
          <cell r="G14">
            <v>0</v>
          </cell>
        </row>
        <row r="15">
          <cell r="A15" t="str">
            <v>3. Employee Features</v>
          </cell>
          <cell r="F15" t="str">
            <v>Not Started</v>
          </cell>
          <cell r="G15">
            <v>0</v>
          </cell>
        </row>
        <row r="16">
          <cell r="A16" t="str">
            <v>3. Employee Features</v>
          </cell>
          <cell r="F16" t="str">
            <v>Not Started</v>
          </cell>
          <cell r="G16">
            <v>0</v>
          </cell>
        </row>
        <row r="17">
          <cell r="A17" t="str">
            <v>4. Approver / Team Features</v>
          </cell>
          <cell r="F17" t="str">
            <v>Not Started</v>
          </cell>
          <cell r="G17">
            <v>0</v>
          </cell>
        </row>
        <row r="18">
          <cell r="A18" t="str">
            <v>4. Approver / Team Features</v>
          </cell>
          <cell r="F18" t="str">
            <v>Not Started</v>
          </cell>
          <cell r="G18">
            <v>0</v>
          </cell>
        </row>
        <row r="19">
          <cell r="A19" t="str">
            <v>4. Approver / Team Features</v>
          </cell>
          <cell r="F19" t="str">
            <v>Not Started</v>
          </cell>
          <cell r="G19">
            <v>0</v>
          </cell>
        </row>
        <row r="20">
          <cell r="A20" t="str">
            <v>4. Approver / Team Features</v>
          </cell>
          <cell r="F20" t="str">
            <v>Not Started</v>
          </cell>
          <cell r="G20">
            <v>0</v>
          </cell>
        </row>
        <row r="21">
          <cell r="A21" t="str">
            <v>4. Approver / Team Features</v>
          </cell>
          <cell r="F21" t="str">
            <v>Not Started</v>
          </cell>
          <cell r="G21">
            <v>0</v>
          </cell>
        </row>
        <row r="22">
          <cell r="A22" t="str">
            <v>5. Admin Features</v>
          </cell>
          <cell r="F22" t="str">
            <v>Not Started</v>
          </cell>
          <cell r="G22">
            <v>0</v>
          </cell>
        </row>
        <row r="23">
          <cell r="A23" t="str">
            <v>5. Admin Features</v>
          </cell>
          <cell r="F23" t="str">
            <v>Not Started</v>
          </cell>
          <cell r="G23">
            <v>0</v>
          </cell>
        </row>
        <row r="24">
          <cell r="A24" t="str">
            <v>5. Admin Features</v>
          </cell>
          <cell r="F24" t="str">
            <v>Not Started</v>
          </cell>
          <cell r="G24">
            <v>0</v>
          </cell>
        </row>
        <row r="25">
          <cell r="A25" t="str">
            <v>5. Admin Features</v>
          </cell>
          <cell r="F25" t="str">
            <v>Not Started</v>
          </cell>
          <cell r="G25">
            <v>0</v>
          </cell>
        </row>
        <row r="26">
          <cell r="A26" t="str">
            <v>5. Admin Features</v>
          </cell>
          <cell r="F26" t="str">
            <v>Not Started</v>
          </cell>
          <cell r="G26">
            <v>0</v>
          </cell>
        </row>
        <row r="27">
          <cell r="A27" t="str">
            <v>5. Admin Features</v>
          </cell>
          <cell r="F27" t="str">
            <v>Not Started</v>
          </cell>
          <cell r="G27">
            <v>0</v>
          </cell>
        </row>
        <row r="28">
          <cell r="A28" t="str">
            <v>6. Backend Integration (TBD)</v>
          </cell>
          <cell r="F28" t="str">
            <v>Not Started</v>
          </cell>
          <cell r="G28">
            <v>0</v>
          </cell>
        </row>
        <row r="29">
          <cell r="A29" t="str">
            <v>6. Backend Integration (TBD)</v>
          </cell>
          <cell r="F29" t="str">
            <v>Not Started</v>
          </cell>
          <cell r="G29">
            <v>0</v>
          </cell>
        </row>
        <row r="30">
          <cell r="A30" t="str">
            <v>6. Backend Integration (TBD)</v>
          </cell>
          <cell r="F30" t="str">
            <v>Not Started</v>
          </cell>
          <cell r="G30">
            <v>0</v>
          </cell>
        </row>
        <row r="31">
          <cell r="A31" t="str">
            <v>6. Backend Integration (TBD)</v>
          </cell>
          <cell r="F31" t="str">
            <v>Not Started</v>
          </cell>
          <cell r="G31">
            <v>0</v>
          </cell>
        </row>
        <row r="32">
          <cell r="A32" t="str">
            <v>6. Backend Integration (TBD)</v>
          </cell>
          <cell r="F32" t="str">
            <v>Not Started</v>
          </cell>
          <cell r="G32">
            <v>0</v>
          </cell>
        </row>
        <row r="33">
          <cell r="A33" t="str">
            <v>6. Backend Integration (TBD)</v>
          </cell>
          <cell r="F33" t="str">
            <v>Not Started</v>
          </cell>
          <cell r="G33">
            <v>0</v>
          </cell>
        </row>
        <row r="34">
          <cell r="A34" t="str">
            <v>7. Testing (after development)</v>
          </cell>
          <cell r="F34" t="str">
            <v>Not Started</v>
          </cell>
          <cell r="G34">
            <v>0</v>
          </cell>
        </row>
        <row r="35">
          <cell r="A35" t="str">
            <v>7. Testing (after development)</v>
          </cell>
          <cell r="F35" t="str">
            <v>Not Started</v>
          </cell>
          <cell r="G35">
            <v>0</v>
          </cell>
        </row>
        <row r="36">
          <cell r="A36" t="str">
            <v>7. Testing (after development)</v>
          </cell>
          <cell r="F36" t="str">
            <v>Not Started</v>
          </cell>
          <cell r="G36">
            <v>0</v>
          </cell>
        </row>
        <row r="37">
          <cell r="A37" t="str">
            <v>7. Testing (after development)</v>
          </cell>
          <cell r="F37" t="str">
            <v>Not Started</v>
          </cell>
          <cell r="G37">
            <v>0</v>
          </cell>
        </row>
        <row r="38">
          <cell r="A38" t="str">
            <v>7. Testing (after development)</v>
          </cell>
          <cell r="F38" t="str">
            <v>Not Started</v>
          </cell>
          <cell r="G38">
            <v>0</v>
          </cell>
        </row>
        <row r="39">
          <cell r="A39" t="str">
            <v>8. Documentation (after development)</v>
          </cell>
          <cell r="F39" t="str">
            <v>Not Started</v>
          </cell>
          <cell r="G39">
            <v>0</v>
          </cell>
        </row>
        <row r="40">
          <cell r="A40" t="str">
            <v>8. Documentation (after development)</v>
          </cell>
          <cell r="F40" t="str">
            <v>Not Started</v>
          </cell>
          <cell r="G40">
            <v>0</v>
          </cell>
        </row>
        <row r="41">
          <cell r="A41" t="str">
            <v>8. Documentation (after development)</v>
          </cell>
          <cell r="F41" t="str">
            <v>Not Started</v>
          </cell>
          <cell r="G41">
            <v>0</v>
          </cell>
        </row>
        <row r="43">
          <cell r="A43" t="str">
            <v>Commitment: frontend DEVELOPMENT finished by end of August (weekdays = NETWORKDAYS). Backend Integration has TBD end dates (teams work separately — fill dates when known). Testing and Documentation start after development (from Sep 2026); end dates TBD. No login page — portal cookies/session with backend.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G30"/>
  <sheetViews>
    <sheetView tabSelected="1" workbookViewId="0">
      <selection activeCell="E10" sqref="E10"/>
    </sheetView>
  </sheetViews>
  <sheetFormatPr baseColWidth="8" defaultRowHeight="14.4"/>
  <cols>
    <col width="52" customWidth="1" min="1" max="1"/>
    <col width="24.33203125" customWidth="1" min="2" max="2"/>
    <col width="14" customWidth="1" min="3" max="3"/>
    <col width="15" customWidth="1" min="4" max="4"/>
    <col width="78" customWidth="1" min="5" max="5"/>
    <col width="14" customWidth="1" min="6" max="6"/>
  </cols>
  <sheetData>
    <row r="1" ht="25.8" customHeight="1">
      <c r="A1" s="53" t="inlineStr">
        <is>
          <t>Tentative Schedule — Frontend development (to end of August 2026)</t>
        </is>
      </c>
    </row>
    <row r="2">
      <c r="A2" s="54" t="inlineStr">
        <is>
          <t>Started 2026-07-21. August commitment = DEVELOPMENT only (through 2026-08-31). Backend integration dates TBD. Testing &amp; documentation after development.</t>
        </is>
      </c>
    </row>
    <row r="4" ht="28.8" customHeight="1">
      <c r="A4" s="1" t="inlineStr">
        <is>
          <t>Phase</t>
        </is>
      </c>
      <c r="B4" s="1" t="inlineStr">
        <is>
          <t>Start Date</t>
        </is>
      </c>
      <c r="C4" s="1" t="inlineStr">
        <is>
          <t>End Date</t>
        </is>
      </c>
      <c r="D4" s="1" t="inlineStr">
        <is>
          <t>Days (weekdays)</t>
        </is>
      </c>
      <c r="E4" s="1" t="inlineStr">
        <is>
          <t>Focus</t>
        </is>
      </c>
      <c r="F4" s="1" t="inlineStr">
        <is>
          <t>Weekly Date</t>
        </is>
      </c>
    </row>
    <row r="5">
      <c r="A5" s="2" t="inlineStr">
        <is>
          <t>Phase 1 — Foundation (development)</t>
        </is>
      </c>
      <c r="B5" s="3" t="n">
        <v>46224</v>
      </c>
      <c r="C5" s="3" t="n">
        <v>46233</v>
      </c>
      <c r="D5" s="4">
        <f>NETWORKDAYS(B5,C5)</f>
        <v/>
      </c>
      <c r="E5" s="2" t="inlineStr">
        <is>
          <t>Project setup, layout, menus, reusable UI.</t>
        </is>
      </c>
      <c r="F5" s="3">
        <f>B5+MOD(5-WEEKDAY(B5,2),7)</f>
        <v/>
      </c>
    </row>
    <row r="6">
      <c r="A6" s="5" t="inlineStr">
        <is>
          <t>Phase 2 — Employee features (development)</t>
        </is>
      </c>
      <c r="B6" s="6" t="n">
        <v>46231</v>
      </c>
      <c r="C6" s="6" t="n">
        <v>46247</v>
      </c>
      <c r="D6" s="7">
        <f>NETWORKDAYS(B6,C6)</f>
        <v/>
      </c>
      <c r="E6" s="5" t="inlineStr">
        <is>
          <t>Dashboard, file leave, request details, history, edit, and cancel.</t>
        </is>
      </c>
      <c r="F6" s="6">
        <f>B6+MOD(5-WEEKDAY(B6,2),7)</f>
        <v/>
      </c>
    </row>
    <row r="7">
      <c r="A7" s="8" t="inlineStr">
        <is>
          <t>Phase 3 — Approver / team (development)</t>
        </is>
      </c>
      <c r="B7" s="9" t="n">
        <v>46245</v>
      </c>
      <c r="C7" s="9" t="n">
        <v>46255</v>
      </c>
      <c r="D7" s="10">
        <f>NETWORKDAYS(B7,C7)</f>
        <v/>
      </c>
      <c r="E7" s="8" t="inlineStr">
        <is>
          <t>Approvals inbox, approve/reject, file for member, team calendar.</t>
        </is>
      </c>
      <c r="F7" s="9">
        <f>B7+MOD(5-WEEKDAY(B7,2),7)</f>
        <v/>
      </c>
    </row>
    <row r="8">
      <c r="A8" s="11" t="inlineStr">
        <is>
          <t>Phase 4 — Admin features (development)</t>
        </is>
      </c>
      <c r="B8" s="12" t="n">
        <v>46252</v>
      </c>
      <c r="C8" s="12" t="n">
        <v>46262</v>
      </c>
      <c r="D8" s="13">
        <f>NETWORKDAYS(B8,C8)</f>
        <v/>
      </c>
      <c r="E8" s="11" t="inlineStr">
        <is>
          <t>Admin requests, conversion review, balances, logs, and reports.</t>
        </is>
      </c>
      <c r="F8" s="12">
        <f>B8+MOD(5-WEEKDAY(B8,2),7)</f>
        <v/>
      </c>
    </row>
    <row r="9">
      <c r="A9" s="14" t="inlineStr">
        <is>
          <t>Phase 5 — Development complete (commitment)</t>
        </is>
      </c>
      <c r="B9" s="15" t="n">
        <v>46262</v>
      </c>
      <c r="C9" s="15" t="n">
        <v>46265</v>
      </c>
      <c r="D9" s="16">
        <f>NETWORKDAYS(B9,C9)</f>
        <v/>
      </c>
      <c r="E9" s="14" t="inlineStr">
        <is>
          <t>Frontend development screens targeted complete. End of August = development only.</t>
        </is>
      </c>
      <c r="F9" s="15">
        <f>B9+MOD(5-WEEKDAY(B9,2),7)</f>
        <v/>
      </c>
    </row>
    <row r="12" ht="18" customHeight="1">
      <c r="A12" s="17" t="inlineStr">
        <is>
          <t>After / alongside development (no fixed end dates yet)</t>
        </is>
      </c>
    </row>
    <row r="13">
      <c r="A13" s="18" t="inlineStr">
        <is>
          <t>Item</t>
        </is>
      </c>
      <c r="B13" s="18" t="inlineStr">
        <is>
          <t>Notes</t>
        </is>
      </c>
    </row>
    <row r="14" ht="72" customHeight="1">
      <c r="A14" s="19" t="inlineStr">
        <is>
          <t>Backend integration (parallel / TBD)</t>
        </is>
      </c>
      <c r="B14" s="20" t="inlineStr">
        <is>
          <t>Ongoing with backend partner — no fixed day count yet. Update when APIs and cookie/session are ready.</t>
        </is>
      </c>
    </row>
    <row r="15" ht="28.8" customHeight="1">
      <c r="A15" s="21" t="inlineStr">
        <is>
          <t>Testing (after development)</t>
        </is>
      </c>
      <c r="B15" s="22" t="inlineStr">
        <is>
          <t>Planned to start on/after 2026-09-01. End date TBD.</t>
        </is>
      </c>
    </row>
    <row r="16" ht="28.8" customHeight="1">
      <c r="A16" s="23" t="inlineStr">
        <is>
          <t>Documentation (after development)</t>
        </is>
      </c>
      <c r="B16" s="24" t="inlineStr">
        <is>
          <t>Planned to start on/after 2026-09-01. End date TBD.</t>
        </is>
      </c>
    </row>
    <row r="19">
      <c r="A19" s="25" t="inlineStr">
        <is>
          <t>Overall %</t>
        </is>
      </c>
      <c r="C19" s="26" t="inlineStr">
        <is>
          <t>Completed</t>
        </is>
      </c>
      <c r="E19" s="27" t="inlineStr">
        <is>
          <t>In Progress</t>
        </is>
      </c>
      <c r="G19" s="28" t="inlineStr">
        <is>
          <t>Not Started</t>
        </is>
      </c>
    </row>
    <row r="20" ht="36.6" customHeight="1">
      <c r="A20" s="29">
        <f>IF(COUNTA('[1]Progress Tracker'!F:F)&lt;=1,0,AVERAGE('[1]Progress Tracker'!G:G))</f>
        <v/>
      </c>
      <c r="C20" s="30">
        <f>COUNTIF('[1]Progress Tracker'!F:F,"Completed")</f>
        <v/>
      </c>
      <c r="E20" s="31">
        <f>COUNTIF('[1]Progress Tracker'!F:F,"In Progress")</f>
        <v/>
      </c>
      <c r="G20" s="32">
        <f>COUNTIF('[1]Progress Tracker'!F:F,"Not Started")</f>
        <v/>
      </c>
    </row>
    <row r="22">
      <c r="A22" s="33" t="inlineStr">
        <is>
          <t>Section</t>
        </is>
      </c>
      <c r="B22" s="33" t="inlineStr">
        <is>
          <t>Tasks</t>
        </is>
      </c>
      <c r="C22" s="33" t="inlineStr">
        <is>
          <t>Completed</t>
        </is>
      </c>
      <c r="D22" s="33" t="inlineStr">
        <is>
          <t>In Progress</t>
        </is>
      </c>
      <c r="E22" s="33" t="inlineStr">
        <is>
          <t>Not Started</t>
        </is>
      </c>
      <c r="F22" s="33" t="inlineStr">
        <is>
          <t>Blocked</t>
        </is>
      </c>
      <c r="G22" s="33" t="inlineStr">
        <is>
          <t>Progress %</t>
        </is>
      </c>
    </row>
    <row r="23">
      <c r="A23" s="34" t="inlineStr">
        <is>
          <t>1. Project Setup</t>
        </is>
      </c>
      <c r="B23" s="4">
        <f>COUNTIF('[1]Progress Tracker'!A:A,A23)</f>
        <v/>
      </c>
      <c r="C23" s="4">
        <f>COUNTIFS('[1]Progress Tracker'!A:A,A23,'[1]Progress Tracker'!F:F,"Completed")</f>
        <v/>
      </c>
      <c r="D23" s="4">
        <f>COUNTIFS('[1]Progress Tracker'!A:A,A23,'[1]Progress Tracker'!F:F,"In Progress")</f>
        <v/>
      </c>
      <c r="E23" s="4">
        <f>COUNTIFS('[1]Progress Tracker'!A:A,A23,'[1]Progress Tracker'!F:F,"Not Started")</f>
        <v/>
      </c>
      <c r="F23" s="4">
        <f>COUNTIFS('[1]Progress Tracker'!A:A,A23,'[1]Progress Tracker'!F:F,"Blocked")</f>
        <v/>
      </c>
      <c r="G23" s="35">
        <f>IF(B23=0,0,(C23+0.5*D23)/B23)</f>
        <v/>
      </c>
    </row>
    <row r="24">
      <c r="A24" s="36" t="inlineStr">
        <is>
          <t>2. Core App Shell</t>
        </is>
      </c>
      <c r="B24" s="16">
        <f>COUNTIF('[1]Progress Tracker'!A:A,A24)</f>
        <v/>
      </c>
      <c r="C24" s="16">
        <f>COUNTIFS('[1]Progress Tracker'!A:A,A24,'[1]Progress Tracker'!F:F,"Completed")</f>
        <v/>
      </c>
      <c r="D24" s="16">
        <f>COUNTIFS('[1]Progress Tracker'!A:A,A24,'[1]Progress Tracker'!F:F,"In Progress")</f>
        <v/>
      </c>
      <c r="E24" s="16">
        <f>COUNTIFS('[1]Progress Tracker'!A:A,A24,'[1]Progress Tracker'!F:F,"Not Started")</f>
        <v/>
      </c>
      <c r="F24" s="16">
        <f>COUNTIFS('[1]Progress Tracker'!A:A,A24,'[1]Progress Tracker'!F:F,"Blocked")</f>
        <v/>
      </c>
      <c r="G24" s="37">
        <f>IF(B24=0,0,(C24+0.5*D24)/B24)</f>
        <v/>
      </c>
    </row>
    <row r="25">
      <c r="A25" s="38" t="inlineStr">
        <is>
          <t>3. Employee Features</t>
        </is>
      </c>
      <c r="B25" s="7">
        <f>COUNTIF('[1]Progress Tracker'!A:A,A25)</f>
        <v/>
      </c>
      <c r="C25" s="7">
        <f>COUNTIFS('[1]Progress Tracker'!A:A,A25,'[1]Progress Tracker'!F:F,"Completed")</f>
        <v/>
      </c>
      <c r="D25" s="7">
        <f>COUNTIFS('[1]Progress Tracker'!A:A,A25,'[1]Progress Tracker'!F:F,"In Progress")</f>
        <v/>
      </c>
      <c r="E25" s="7">
        <f>COUNTIFS('[1]Progress Tracker'!A:A,A25,'[1]Progress Tracker'!F:F,"Not Started")</f>
        <v/>
      </c>
      <c r="F25" s="7">
        <f>COUNTIFS('[1]Progress Tracker'!A:A,A25,'[1]Progress Tracker'!F:F,"Blocked")</f>
        <v/>
      </c>
      <c r="G25" s="39">
        <f>IF(B25=0,0,(C25+0.5*D25)/B25)</f>
        <v/>
      </c>
    </row>
    <row r="26">
      <c r="A26" s="40" t="inlineStr">
        <is>
          <t>4. Approver / Team Features</t>
        </is>
      </c>
      <c r="B26" s="10">
        <f>COUNTIF('[1]Progress Tracker'!A:A,A26)</f>
        <v/>
      </c>
      <c r="C26" s="10">
        <f>COUNTIFS('[1]Progress Tracker'!A:A,A26,'[1]Progress Tracker'!F:F,"Completed")</f>
        <v/>
      </c>
      <c r="D26" s="10">
        <f>COUNTIFS('[1]Progress Tracker'!A:A,A26,'[1]Progress Tracker'!F:F,"In Progress")</f>
        <v/>
      </c>
      <c r="E26" s="10">
        <f>COUNTIFS('[1]Progress Tracker'!A:A,A26,'[1]Progress Tracker'!F:F,"Not Started")</f>
        <v/>
      </c>
      <c r="F26" s="10">
        <f>COUNTIFS('[1]Progress Tracker'!A:A,A26,'[1]Progress Tracker'!F:F,"Blocked")</f>
        <v/>
      </c>
      <c r="G26" s="41">
        <f>IF(B26=0,0,(C26+0.5*D26)/B26)</f>
        <v/>
      </c>
    </row>
    <row r="27">
      <c r="A27" s="42" t="inlineStr">
        <is>
          <t>5. Admin Features</t>
        </is>
      </c>
      <c r="B27" s="13">
        <f>COUNTIF('[1]Progress Tracker'!A:A,A27)</f>
        <v/>
      </c>
      <c r="C27" s="13">
        <f>COUNTIFS('[1]Progress Tracker'!A:A,A27,'[1]Progress Tracker'!F:F,"Completed")</f>
        <v/>
      </c>
      <c r="D27" s="13">
        <f>COUNTIFS('[1]Progress Tracker'!A:A,A27,'[1]Progress Tracker'!F:F,"In Progress")</f>
        <v/>
      </c>
      <c r="E27" s="13">
        <f>COUNTIFS('[1]Progress Tracker'!A:A,A27,'[1]Progress Tracker'!F:F,"Not Started")</f>
        <v/>
      </c>
      <c r="F27" s="13">
        <f>COUNTIFS('[1]Progress Tracker'!A:A,A27,'[1]Progress Tracker'!F:F,"Blocked")</f>
        <v/>
      </c>
      <c r="G27" s="43">
        <f>IF(B27=0,0,(C27+0.5*D27)/B27)</f>
        <v/>
      </c>
    </row>
    <row r="28">
      <c r="A28" s="44" t="inlineStr">
        <is>
          <t>6. Backend Integration (TBD)</t>
        </is>
      </c>
      <c r="B28" s="45">
        <f>COUNTIF('[1]Progress Tracker'!A:A,A28)</f>
        <v/>
      </c>
      <c r="C28" s="45">
        <f>COUNTIFS('[1]Progress Tracker'!A:A,A28,'[1]Progress Tracker'!F:F,"Completed")</f>
        <v/>
      </c>
      <c r="D28" s="45">
        <f>COUNTIFS('[1]Progress Tracker'!A:A,A28,'[1]Progress Tracker'!F:F,"In Progress")</f>
        <v/>
      </c>
      <c r="E28" s="45">
        <f>COUNTIFS('[1]Progress Tracker'!A:A,A28,'[1]Progress Tracker'!F:F,"Not Started")</f>
        <v/>
      </c>
      <c r="F28" s="45">
        <f>COUNTIFS('[1]Progress Tracker'!A:A,A28,'[1]Progress Tracker'!F:F,"Blocked")</f>
        <v/>
      </c>
      <c r="G28" s="46">
        <f>IF(B28=0,0,(C28+0.5*D28)/B28)</f>
        <v/>
      </c>
    </row>
    <row r="29">
      <c r="A29" s="47" t="inlineStr">
        <is>
          <t>7. Testing (after development)</t>
        </is>
      </c>
      <c r="B29" s="48">
        <f>COUNTIF('[1]Progress Tracker'!A:A,A29)</f>
        <v/>
      </c>
      <c r="C29" s="48">
        <f>COUNTIFS('[1]Progress Tracker'!A:A,A29,'[1]Progress Tracker'!F:F,"Completed")</f>
        <v/>
      </c>
      <c r="D29" s="48">
        <f>COUNTIFS('[1]Progress Tracker'!A:A,A29,'[1]Progress Tracker'!F:F,"In Progress")</f>
        <v/>
      </c>
      <c r="E29" s="48">
        <f>COUNTIFS('[1]Progress Tracker'!A:A,A29,'[1]Progress Tracker'!F:F,"Not Started")</f>
        <v/>
      </c>
      <c r="F29" s="48">
        <f>COUNTIFS('[1]Progress Tracker'!A:A,A29,'[1]Progress Tracker'!F:F,"Blocked")</f>
        <v/>
      </c>
      <c r="G29" s="49">
        <f>IF(B29=0,0,(C29+0.5*D29)/B29)</f>
        <v/>
      </c>
    </row>
    <row r="30">
      <c r="A30" s="50" t="inlineStr">
        <is>
          <t>8. Documentation (after development)</t>
        </is>
      </c>
      <c r="B30" s="51">
        <f>COUNTIF('[1]Progress Tracker'!A:A,A30)</f>
        <v/>
      </c>
      <c r="C30" s="51">
        <f>COUNTIFS('[1]Progress Tracker'!A:A,A30,'[1]Progress Tracker'!F:F,"Completed")</f>
        <v/>
      </c>
      <c r="D30" s="51">
        <f>COUNTIFS('[1]Progress Tracker'!A:A,A30,'[1]Progress Tracker'!F:F,"In Progress")</f>
        <v/>
      </c>
      <c r="E30" s="51">
        <f>COUNTIFS('[1]Progress Tracker'!A:A,A30,'[1]Progress Tracker'!F:F,"Not Started")</f>
        <v/>
      </c>
      <c r="F30" s="51">
        <f>COUNTIFS('[1]Progress Tracker'!A:A,A30,'[1]Progress Tracker'!F:F,"Blocked")</f>
        <v/>
      </c>
      <c r="G30" s="52">
        <f>IF(B30=0,0,(C30+0.5*D30)/B30)</f>
        <v/>
      </c>
    </row>
  </sheetData>
  <mergeCells count="2">
    <mergeCell ref="A2:F2"/>
    <mergeCell ref="A1:F1"/>
  </mergeCells>
  <conditionalFormatting sqref="G23:G3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G40"/>
  <sheetViews>
    <sheetView topLeftCell="A7" workbookViewId="0">
      <selection activeCell="B17" sqref="B17"/>
    </sheetView>
  </sheetViews>
  <sheetFormatPr baseColWidth="8" defaultRowHeight="14.4"/>
  <cols>
    <col width="52" customWidth="1" min="1" max="1"/>
    <col width="24.33203125" customWidth="1" min="2" max="2"/>
    <col width="15.5546875" customWidth="1" min="3" max="3"/>
    <col width="15" customWidth="1" min="4" max="4"/>
    <col width="78" customWidth="1" min="5" max="5"/>
    <col width="14" customWidth="1" min="6" max="6"/>
    <col width="14" customWidth="1" min="7" max="7"/>
  </cols>
  <sheetData>
    <row r="1" ht="25.8" customHeight="1">
      <c r="A1" s="53" t="inlineStr">
        <is>
          <t>Tentative Schedule — Backend development (to end of August 2026)</t>
        </is>
      </c>
    </row>
    <row r="2" hidden="1">
      <c r="A2" s="58" t="inlineStr">
        <is>
          <t>Started first week of July. August commitment = DEVELOPMENT only (through 2026-08-31). Frontend integration TBD. Testing &amp; documentation after development. Progress % below uses Backend Progress Tracker (same scoring as Frontend).</t>
        </is>
      </c>
    </row>
    <row r="4" ht="28.8" customHeight="1">
      <c r="A4" s="1" t="inlineStr">
        <is>
          <t>Phase</t>
        </is>
      </c>
      <c r="B4" s="1" t="inlineStr">
        <is>
          <t>Start Date</t>
        </is>
      </c>
      <c r="C4" s="1" t="inlineStr">
        <is>
          <t>Target End Date</t>
        </is>
      </c>
      <c r="D4" s="1" t="inlineStr">
        <is>
          <t>Days (weekdays)</t>
        </is>
      </c>
      <c r="E4" s="1" t="inlineStr">
        <is>
          <t>Focus</t>
        </is>
      </c>
      <c r="F4" s="1" t="inlineStr">
        <is>
          <t>Weekly Date</t>
        </is>
      </c>
    </row>
    <row r="5">
      <c r="A5" s="2" t="inlineStr">
        <is>
          <t>Phase 1 — Foundation (development)</t>
        </is>
      </c>
      <c r="B5" s="3" t="n">
        <v>46209</v>
      </c>
      <c r="C5" s="3" t="n">
        <v>46220</v>
      </c>
      <c r="D5" s="4">
        <f>NETWORKDAYS(B5,C5)</f>
        <v/>
      </c>
      <c r="E5" s="2" t="inlineStr">
        <is>
          <t>Portal auth, /me, /health, dual DB, CORS, schema/models, leave config</t>
        </is>
      </c>
      <c r="F5" s="3">
        <f>B5+MOD(5-WEEKDAY(B5,2),7)</f>
        <v/>
      </c>
    </row>
    <row r="6" ht="28.8" customHeight="1">
      <c r="A6" s="5" t="inlineStr">
        <is>
          <t>Phase 2 — Employee features (development)</t>
        </is>
      </c>
      <c r="B6" s="6" t="n">
        <v>46223</v>
      </c>
      <c r="C6" s="6" t="n">
        <v>46248</v>
      </c>
      <c r="D6" s="7">
        <f>NETWORKDAYS(B6,C6)</f>
        <v/>
      </c>
      <c r="E6" s="55" t="inlineStr">
        <is>
          <t>VL: submit, list, edit, cancel, attachments, balances read, on-behalf, submit notify. Still open: other leave-type filing (EL/ML/PL/PTB/LL), reject/next-tier notify leftovers</t>
        </is>
      </c>
      <c r="F6" s="6">
        <f>B6+MOD(5-WEEKDAY(B6,2),7)</f>
        <v/>
      </c>
    </row>
    <row r="7" ht="28.8" customHeight="1">
      <c r="A7" s="8" t="inlineStr">
        <is>
          <t>Phase 3 — Approver APIs (development)</t>
        </is>
      </c>
      <c r="B7" s="9" t="n">
        <v>46227</v>
      </c>
      <c r="C7" s="9" t="n">
        <v>46248</v>
      </c>
      <c r="D7" s="10">
        <f>NETWORKDAYS(B7,C7)</f>
        <v/>
      </c>
      <c r="E7" s="56" t="inlineStr">
        <is>
          <t>VL: pending inbox, approve/reject, finalize/confirm, file-for-member, confirm email. Still open: admin-requirement paths for other types, president verify, special group rules</t>
        </is>
      </c>
      <c r="F7" s="9">
        <f>B7+MOD(5-WEEKDAY(B7,2),7)</f>
        <v/>
      </c>
    </row>
    <row r="8" ht="28.8" customHeight="1">
      <c r="A8" s="11" t="inlineStr">
        <is>
          <t>Phase 4 — Admin APIs (development)</t>
        </is>
      </c>
      <c r="B8" s="12" t="n">
        <v>46252</v>
      </c>
      <c r="C8" s="12" t="n">
        <v>46262</v>
      </c>
      <c r="D8" s="13">
        <f>NETWORKDAYS(B8,C8)</f>
        <v/>
      </c>
      <c r="E8" s="57" t="inlineStr">
        <is>
          <t>VL→SL conversion, admin review, manual opening balances/adjust, reports; other leave types + admin requirements if FE needs; finish notify leftovers</t>
        </is>
      </c>
      <c r="F8" s="12">
        <f>B8+MOD(5-WEEKDAY(B8,2),7)</f>
        <v/>
      </c>
    </row>
    <row r="9">
      <c r="A9" s="14" t="inlineStr">
        <is>
          <t>Phase 5 — Development complete (commitment)</t>
        </is>
      </c>
      <c r="B9" s="15" t="n">
        <v>46262</v>
      </c>
      <c r="C9" s="15" t="n">
        <v>46265</v>
      </c>
      <c r="D9" s="16">
        <f>NETWORKDAYS(B9,C9)</f>
        <v/>
      </c>
      <c r="E9" s="14" t="inlineStr">
        <is>
          <t>Backend API development targeted for completion (August commitment)</t>
        </is>
      </c>
      <c r="F9" s="15">
        <f>B9+MOD(5-WEEKDAY(B9,2),7)</f>
        <v/>
      </c>
    </row>
    <row r="12" ht="18" customHeight="1">
      <c r="A12" s="17" t="inlineStr">
        <is>
          <t>After / alongside development (no fixed end dates yet)</t>
        </is>
      </c>
    </row>
    <row r="13">
      <c r="A13" s="18" t="inlineStr">
        <is>
          <t>Item</t>
        </is>
      </c>
      <c r="B13" s="18" t="inlineStr">
        <is>
          <t>Notes</t>
        </is>
      </c>
    </row>
    <row r="14" ht="72" customHeight="1">
      <c r="A14" s="19" t="inlineStr">
        <is>
          <t>Frontend integration (parallel / TBD)</t>
        </is>
      </c>
      <c r="B14" s="20" t="inlineStr">
        <is>
          <t>Ongoing with frontend partner — no fixed day count yet. Update when frontend pages are ready.</t>
        </is>
      </c>
    </row>
    <row r="15" ht="28.8" customHeight="1">
      <c r="A15" s="21" t="inlineStr">
        <is>
          <t>Testing (after development)</t>
        </is>
      </c>
      <c r="B15" s="22" t="inlineStr">
        <is>
          <t>Planned to start on/after 2026-09-01. End date TBD.</t>
        </is>
      </c>
    </row>
    <row r="16" ht="28.8" customHeight="1">
      <c r="A16" s="23" t="inlineStr">
        <is>
          <t>Documentation (after development)</t>
        </is>
      </c>
      <c r="B16" s="24" t="inlineStr">
        <is>
          <t>Planned to start on/after 2026-09-01. End date TBD.</t>
        </is>
      </c>
    </row>
    <row r="18">
      <c r="A18" s="59" t="n"/>
      <c r="B18" s="59" t="n"/>
      <c r="C18" s="59" t="n"/>
      <c r="D18" s="59" t="n"/>
      <c r="E18" s="59" t="n"/>
      <c r="F18" s="59" t="n"/>
      <c r="G18" s="59" t="n"/>
    </row>
    <row r="19">
      <c r="A19" s="60" t="inlineStr">
        <is>
          <t>Overall %</t>
        </is>
      </c>
      <c r="B19" s="59" t="n"/>
      <c r="C19" s="61" t="inlineStr">
        <is>
          <t>Completed</t>
        </is>
      </c>
      <c r="D19" s="59" t="n"/>
      <c r="E19" s="62" t="inlineStr">
        <is>
          <t>In Progress</t>
        </is>
      </c>
      <c r="F19" s="59" t="n"/>
      <c r="G19" s="63" t="inlineStr">
        <is>
          <t>Not Started</t>
        </is>
      </c>
    </row>
    <row r="20" ht="36" customHeight="1">
      <c r="A20" s="64">
        <f>IF(COUNTA('Backend Progress Tracker'!C:C)&lt;=1,0,AVERAGE('Backend Progress Tracker'!D:D))</f>
        <v/>
      </c>
      <c r="B20" s="59" t="n"/>
      <c r="C20" s="65">
        <f>COUNTIF('Backend Progress Tracker'!C:C,"Completed")</f>
        <v/>
      </c>
      <c r="D20" s="59" t="n"/>
      <c r="E20" s="66">
        <f>COUNTIF('Backend Progress Tracker'!C:C,"In Progress")</f>
        <v/>
      </c>
      <c r="F20" s="59" t="n"/>
      <c r="G20" s="67">
        <f>COUNTIF('Backend Progress Tracker'!C:C,"Not Started")</f>
        <v/>
      </c>
    </row>
    <row r="21">
      <c r="A21" s="59" t="n"/>
      <c r="B21" s="59" t="n"/>
      <c r="C21" s="59" t="n"/>
      <c r="D21" s="59" t="n"/>
      <c r="E21" s="59" t="n"/>
      <c r="F21" s="59" t="n"/>
      <c r="G21" s="59" t="n"/>
    </row>
    <row r="22">
      <c r="A22" s="68" t="inlineStr">
        <is>
          <t>Section</t>
        </is>
      </c>
      <c r="B22" s="68" t="inlineStr">
        <is>
          <t>Tasks</t>
        </is>
      </c>
      <c r="C22" s="68" t="inlineStr">
        <is>
          <t>Completed</t>
        </is>
      </c>
      <c r="D22" s="68" t="inlineStr">
        <is>
          <t>In Progress</t>
        </is>
      </c>
      <c r="E22" s="68" t="inlineStr">
        <is>
          <t>Not Started</t>
        </is>
      </c>
      <c r="F22" s="68" t="inlineStr">
        <is>
          <t>Blocked</t>
        </is>
      </c>
      <c r="G22" s="68" t="inlineStr">
        <is>
          <t>Progress %</t>
        </is>
      </c>
    </row>
    <row r="23">
      <c r="A23" s="69" t="inlineStr">
        <is>
          <t>1. Foundation</t>
        </is>
      </c>
      <c r="B23" s="70">
        <f>COUNTIF('Backend Progress Tracker'!A:A,A23)</f>
        <v/>
      </c>
      <c r="C23" s="70">
        <f>COUNTIFS('Backend Progress Tracker'!A:A,A23,'Backend Progress Tracker'!C:C,"Completed")</f>
        <v/>
      </c>
      <c r="D23" s="70">
        <f>COUNTIFS('Backend Progress Tracker'!A:A,A23,'Backend Progress Tracker'!C:C,"In Progress")</f>
        <v/>
      </c>
      <c r="E23" s="70">
        <f>COUNTIFS('Backend Progress Tracker'!A:A,A23,'Backend Progress Tracker'!C:C,"Not Started")</f>
        <v/>
      </c>
      <c r="F23" s="70">
        <f>COUNTIFS('Backend Progress Tracker'!A:A,A23,'Backend Progress Tracker'!C:C,"Blocked")</f>
        <v/>
      </c>
      <c r="G23" s="71">
        <f>IF(B23=0,0,(C23+0.5*D23)/B23)</f>
        <v/>
      </c>
    </row>
    <row r="24">
      <c r="A24" s="72" t="inlineStr">
        <is>
          <t>2. Employee Features</t>
        </is>
      </c>
      <c r="B24" s="73">
        <f>COUNTIF('Backend Progress Tracker'!A:A,A24)</f>
        <v/>
      </c>
      <c r="C24" s="73">
        <f>COUNTIFS('Backend Progress Tracker'!A:A,A24,'Backend Progress Tracker'!C:C,"Completed")</f>
        <v/>
      </c>
      <c r="D24" s="73">
        <f>COUNTIFS('Backend Progress Tracker'!A:A,A24,'Backend Progress Tracker'!C:C,"In Progress")</f>
        <v/>
      </c>
      <c r="E24" s="73">
        <f>COUNTIFS('Backend Progress Tracker'!A:A,A24,'Backend Progress Tracker'!C:C,"Not Started")</f>
        <v/>
      </c>
      <c r="F24" s="73">
        <f>COUNTIFS('Backend Progress Tracker'!A:A,A24,'Backend Progress Tracker'!C:C,"Blocked")</f>
        <v/>
      </c>
      <c r="G24" s="74">
        <f>IF(B24=0,0,(C24+0.5*D24)/B24)</f>
        <v/>
      </c>
    </row>
    <row r="25">
      <c r="A25" s="75" t="inlineStr">
        <is>
          <t>3. Approver Features</t>
        </is>
      </c>
      <c r="B25" s="76">
        <f>COUNTIF('Backend Progress Tracker'!A:A,A25)</f>
        <v/>
      </c>
      <c r="C25" s="76">
        <f>COUNTIFS('Backend Progress Tracker'!A:A,A25,'Backend Progress Tracker'!C:C,"Completed")</f>
        <v/>
      </c>
      <c r="D25" s="76">
        <f>COUNTIFS('Backend Progress Tracker'!A:A,A25,'Backend Progress Tracker'!C:C,"In Progress")</f>
        <v/>
      </c>
      <c r="E25" s="76">
        <f>COUNTIFS('Backend Progress Tracker'!A:A,A25,'Backend Progress Tracker'!C:C,"Not Started")</f>
        <v/>
      </c>
      <c r="F25" s="76">
        <f>COUNTIFS('Backend Progress Tracker'!A:A,A25,'Backend Progress Tracker'!C:C,"Blocked")</f>
        <v/>
      </c>
      <c r="G25" s="77">
        <f>IF(B25=0,0,(C25+0.5*D25)/B25)</f>
        <v/>
      </c>
    </row>
    <row r="26">
      <c r="A26" s="78" t="inlineStr">
        <is>
          <t>4. Admin Features</t>
        </is>
      </c>
      <c r="B26" s="79">
        <f>COUNTIF('Backend Progress Tracker'!A:A,A26)</f>
        <v/>
      </c>
      <c r="C26" s="79">
        <f>COUNTIFS('Backend Progress Tracker'!A:A,A26,'Backend Progress Tracker'!C:C,"Completed")</f>
        <v/>
      </c>
      <c r="D26" s="79">
        <f>COUNTIFS('Backend Progress Tracker'!A:A,A26,'Backend Progress Tracker'!C:C,"In Progress")</f>
        <v/>
      </c>
      <c r="E26" s="79">
        <f>COUNTIFS('Backend Progress Tracker'!A:A,A26,'Backend Progress Tracker'!C:C,"Not Started")</f>
        <v/>
      </c>
      <c r="F26" s="79">
        <f>COUNTIFS('Backend Progress Tracker'!A:A,A26,'Backend Progress Tracker'!C:C,"Blocked")</f>
        <v/>
      </c>
      <c r="G26" s="80">
        <f>IF(B26=0,0,(C26+0.5*D26)/B26)</f>
        <v/>
      </c>
    </row>
    <row r="27">
      <c r="A27" s="81" t="inlineStr">
        <is>
          <t>5. Frontend Integration (TBD)</t>
        </is>
      </c>
      <c r="B27" s="82">
        <f>COUNTIF('Backend Progress Tracker'!A:A,A27)</f>
        <v/>
      </c>
      <c r="C27" s="82">
        <f>COUNTIFS('Backend Progress Tracker'!A:A,A27,'Backend Progress Tracker'!C:C,"Completed")</f>
        <v/>
      </c>
      <c r="D27" s="82">
        <f>COUNTIFS('Backend Progress Tracker'!A:A,A27,'Backend Progress Tracker'!C:C,"In Progress")</f>
        <v/>
      </c>
      <c r="E27" s="82">
        <f>COUNTIFS('Backend Progress Tracker'!A:A,A27,'Backend Progress Tracker'!C:C,"Not Started")</f>
        <v/>
      </c>
      <c r="F27" s="82">
        <f>COUNTIFS('Backend Progress Tracker'!A:A,A27,'Backend Progress Tracker'!C:C,"Blocked")</f>
        <v/>
      </c>
      <c r="G27" s="83">
        <f>IF(B27=0,0,(C27+0.5*D27)/B27)</f>
        <v/>
      </c>
    </row>
    <row r="28">
      <c r="A28" s="84" t="inlineStr">
        <is>
          <t>6. Testing (after development)</t>
        </is>
      </c>
      <c r="B28" s="85">
        <f>COUNTIF('Backend Progress Tracker'!A:A,A28)</f>
        <v/>
      </c>
      <c r="C28" s="85">
        <f>COUNTIFS('Backend Progress Tracker'!A:A,A28,'Backend Progress Tracker'!C:C,"Completed")</f>
        <v/>
      </c>
      <c r="D28" s="85">
        <f>COUNTIFS('Backend Progress Tracker'!A:A,A28,'Backend Progress Tracker'!C:C,"In Progress")</f>
        <v/>
      </c>
      <c r="E28" s="85">
        <f>COUNTIFS('Backend Progress Tracker'!A:A,A28,'Backend Progress Tracker'!C:C,"Not Started")</f>
        <v/>
      </c>
      <c r="F28" s="85">
        <f>COUNTIFS('Backend Progress Tracker'!A:A,A28,'Backend Progress Tracker'!C:C,"Blocked")</f>
        <v/>
      </c>
      <c r="G28" s="86">
        <f>IF(B28=0,0,(C28+0.5*D28)/B28)</f>
        <v/>
      </c>
    </row>
    <row r="29">
      <c r="A29" s="87" t="inlineStr">
        <is>
          <t>7. Documentation (after development)</t>
        </is>
      </c>
      <c r="B29" s="88">
        <f>COUNTIF('Backend Progress Tracker'!A:A,A29)</f>
        <v/>
      </c>
      <c r="C29" s="88">
        <f>COUNTIFS('Backend Progress Tracker'!A:A,A29,'Backend Progress Tracker'!C:C,"Completed")</f>
        <v/>
      </c>
      <c r="D29" s="88">
        <f>COUNTIFS('Backend Progress Tracker'!A:A,A29,'Backend Progress Tracker'!C:C,"In Progress")</f>
        <v/>
      </c>
      <c r="E29" s="88">
        <f>COUNTIFS('Backend Progress Tracker'!A:A,A29,'Backend Progress Tracker'!C:C,"Not Started")</f>
        <v/>
      </c>
      <c r="F29" s="88">
        <f>COUNTIFS('Backend Progress Tracker'!A:A,A29,'Backend Progress Tracker'!C:C,"Blocked")</f>
        <v/>
      </c>
      <c r="G29" s="89">
        <f>IF(B29=0,0,(C29+0.5*D29)/B29)</f>
        <v/>
      </c>
    </row>
    <row r="30">
      <c r="A30" s="59" t="n"/>
      <c r="B30" s="59" t="n"/>
      <c r="C30" s="59" t="n"/>
      <c r="D30" s="59" t="n"/>
      <c r="E30" s="59" t="n"/>
      <c r="F30" s="59" t="n"/>
      <c r="G30" s="59" t="n"/>
    </row>
    <row r="31">
      <c r="A31" s="59" t="n"/>
      <c r="B31" s="59" t="n"/>
      <c r="C31" s="59" t="n"/>
      <c r="D31" s="59" t="n"/>
      <c r="E31" s="59" t="n"/>
      <c r="F31" s="59" t="n"/>
      <c r="G31" s="59" t="n"/>
    </row>
    <row r="32">
      <c r="A32" s="59" t="n"/>
      <c r="B32" s="59" t="n"/>
      <c r="C32" s="59" t="n"/>
      <c r="D32" s="59" t="n"/>
      <c r="E32" s="59" t="n"/>
      <c r="F32" s="59" t="n"/>
      <c r="G32" s="59" t="n"/>
    </row>
    <row r="33">
      <c r="A33" s="59" t="n"/>
      <c r="B33" s="59" t="n"/>
      <c r="C33" s="59" t="n"/>
      <c r="D33" s="59" t="n"/>
      <c r="E33" s="59" t="n"/>
      <c r="F33" s="59" t="n"/>
      <c r="G33" s="59" t="n"/>
    </row>
    <row r="34">
      <c r="A34" s="59" t="n"/>
      <c r="B34" s="59" t="n"/>
      <c r="C34" s="59" t="n"/>
      <c r="D34" s="59" t="n"/>
      <c r="E34" s="59" t="n"/>
      <c r="F34" s="59" t="n"/>
      <c r="G34" s="59" t="n"/>
    </row>
    <row r="35">
      <c r="A35" s="59" t="n"/>
      <c r="B35" s="59" t="n"/>
      <c r="C35" s="59" t="n"/>
      <c r="D35" s="59" t="n"/>
      <c r="E35" s="59" t="n"/>
      <c r="F35" s="59" t="n"/>
      <c r="G35" s="59" t="n"/>
    </row>
    <row r="36">
      <c r="A36" s="59" t="n"/>
      <c r="B36" s="59" t="n"/>
      <c r="C36" s="59" t="n"/>
      <c r="D36" s="59" t="n"/>
      <c r="E36" s="59" t="n"/>
      <c r="F36" s="59" t="n"/>
      <c r="G36" s="59" t="n"/>
    </row>
    <row r="37">
      <c r="A37" s="59" t="n"/>
      <c r="B37" s="59" t="n"/>
      <c r="C37" s="59" t="n"/>
      <c r="D37" s="59" t="n"/>
      <c r="E37" s="59" t="n"/>
      <c r="F37" s="59" t="n"/>
      <c r="G37" s="59" t="n"/>
    </row>
    <row r="38">
      <c r="A38" s="59" t="n"/>
      <c r="B38" s="59" t="n"/>
      <c r="C38" s="59" t="n"/>
      <c r="D38" s="59" t="n"/>
      <c r="E38" s="59" t="n"/>
      <c r="F38" s="59" t="n"/>
      <c r="G38" s="59" t="n"/>
    </row>
    <row r="39">
      <c r="A39" s="59" t="n"/>
      <c r="B39" s="59" t="n"/>
      <c r="C39" s="59" t="n"/>
      <c r="D39" s="59" t="n"/>
      <c r="E39" s="59" t="n"/>
      <c r="F39" s="59" t="n"/>
      <c r="G39" s="59" t="n"/>
    </row>
    <row r="40">
      <c r="A40" s="59" t="n"/>
      <c r="B40" s="59" t="n"/>
      <c r="C40" s="59" t="n"/>
      <c r="D40" s="59" t="n"/>
      <c r="E40" s="59" t="n"/>
      <c r="F40" s="59" t="n"/>
      <c r="G40" s="59" t="n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4" customWidth="1" min="3" max="3"/>
    <col width="12" customWidth="1" min="4" max="4"/>
  </cols>
  <sheetData>
    <row r="1">
      <c r="A1" s="68" t="inlineStr">
        <is>
          <t>Section</t>
        </is>
      </c>
      <c r="B1" s="68" t="inlineStr">
        <is>
          <t>Task</t>
        </is>
      </c>
      <c r="C1" s="68" t="inlineStr">
        <is>
          <t>Status</t>
        </is>
      </c>
      <c r="D1" s="68" t="inlineStr">
        <is>
          <t>Progress %</t>
        </is>
      </c>
    </row>
    <row r="2">
      <c r="A2" s="90" t="inlineStr">
        <is>
          <t>1. Foundation</t>
        </is>
      </c>
      <c r="B2" s="91" t="inlineStr">
        <is>
          <t>Dual DB setup — formsdb + kdtphdb (read-only)</t>
        </is>
      </c>
      <c r="C2" s="92" t="inlineStr">
        <is>
          <t>Completed</t>
        </is>
      </c>
      <c r="D2" s="93">
        <f>IF(C2="Completed",1,IF(C2="In Progress",0.5,0))</f>
        <v/>
      </c>
    </row>
    <row r="3">
      <c r="A3" s="90" t="inlineStr">
        <is>
          <t>1. Foundation</t>
        </is>
      </c>
      <c r="B3" s="91" t="inlineStr">
        <is>
          <t>Portal cookie auth (userID → kdtlogin)</t>
        </is>
      </c>
      <c r="C3" s="92" t="inlineStr">
        <is>
          <t>Completed</t>
        </is>
      </c>
      <c r="D3" s="93">
        <f>IF(C3="Completed",1,IF(C3="In Progress",0.5,0))</f>
        <v/>
      </c>
    </row>
    <row r="4">
      <c r="A4" s="90" t="inlineStr">
        <is>
          <t>1. Foundation</t>
        </is>
      </c>
      <c r="B4" s="91" t="inlineStr">
        <is>
          <t>Routes — GET /api/me, GET /api/health</t>
        </is>
      </c>
      <c r="C4" s="92" t="inlineStr">
        <is>
          <t>Completed</t>
        </is>
      </c>
      <c r="D4" s="93">
        <f>IF(C4="Completed",1,IF(C4="In Progress",0.5,0))</f>
        <v/>
      </c>
    </row>
    <row r="5">
      <c r="A5" s="90" t="inlineStr">
        <is>
          <t>1. Foundation</t>
        </is>
      </c>
      <c r="B5" s="91" t="inlineStr">
        <is>
          <t>Schema migrations — 8 revamp tables + indexes</t>
        </is>
      </c>
      <c r="C5" s="92" t="inlineStr">
        <is>
          <t>Completed</t>
        </is>
      </c>
      <c r="D5" s="93">
        <f>IF(C5="Completed",1,IF(C5="In Progress",0.5,0))</f>
        <v/>
      </c>
    </row>
    <row r="6">
      <c r="A6" s="90" t="inlineStr">
        <is>
          <t>1. Foundation</t>
        </is>
      </c>
      <c r="B6" s="91" t="inlineStr">
        <is>
          <t>Eloquent models + PHP backed enums</t>
        </is>
      </c>
      <c r="C6" s="92" t="inlineStr">
        <is>
          <t>Completed</t>
        </is>
      </c>
      <c r="D6" s="93">
        <f>IF(C6="Completed",1,IF(C6="In Progress",0.5,0))</f>
        <v/>
      </c>
    </row>
    <row r="7">
      <c r="A7" s="90" t="inlineStr">
        <is>
          <t>1. Foundation</t>
        </is>
      </c>
      <c r="B7" s="91" t="inlineStr">
        <is>
          <t>LeaveTypeSeeder (VL, SL, EL, ML, PL, PTB, LL)</t>
        </is>
      </c>
      <c r="C7" s="92" t="inlineStr">
        <is>
          <t>Completed</t>
        </is>
      </c>
      <c r="D7" s="93">
        <f>IF(C7="Completed",1,IF(C7="In Progress",0.5,0))</f>
        <v/>
      </c>
    </row>
    <row r="8">
      <c r="A8" s="90" t="inlineStr">
        <is>
          <t>1. Foundation</t>
        </is>
      </c>
      <c r="B8" s="91" t="inlineStr">
        <is>
          <t>Config — president_emp_id, CORS, attachments, notifications</t>
        </is>
      </c>
      <c r="C8" s="92" t="inlineStr">
        <is>
          <t>Completed</t>
        </is>
      </c>
      <c r="D8" s="93">
        <f>IF(C8="Completed",1,IF(C8="In Progress",0.5,0))</f>
        <v/>
      </c>
    </row>
    <row r="9">
      <c r="A9" s="90" t="inlineStr">
        <is>
          <t>1. Foundation</t>
        </is>
      </c>
      <c r="B9" s="91" t="inlineStr">
        <is>
          <t>Staging/prod portal cookie &amp; env verify with infra</t>
        </is>
      </c>
      <c r="C9" s="94" t="inlineStr">
        <is>
          <t>In Progress</t>
        </is>
      </c>
      <c r="D9" s="93">
        <f>IF(C9="Completed",1,IF(C9="In Progress",0.5,0))</f>
        <v/>
      </c>
    </row>
    <row r="10">
      <c r="A10" s="95" t="inlineStr">
        <is>
          <t>2. Employee Features</t>
        </is>
      </c>
      <c r="B10" s="91" t="inlineStr">
        <is>
          <t>POST /leaves — submit VL with validation</t>
        </is>
      </c>
      <c r="C10" s="92" t="inlineStr">
        <is>
          <t>Completed</t>
        </is>
      </c>
      <c r="D10" s="93">
        <f>IF(C10="Completed",1,IF(C10="In Progress",0.5,0))</f>
        <v/>
      </c>
    </row>
    <row r="11">
      <c r="A11" s="95" t="inlineStr">
        <is>
          <t>2. Employee Features</t>
        </is>
      </c>
      <c r="B11" s="91" t="inlineStr">
        <is>
          <t>Duration calc — workdays, holidays, half-day</t>
        </is>
      </c>
      <c r="C11" s="92" t="inlineStr">
        <is>
          <t>Completed</t>
        </is>
      </c>
      <c r="D11" s="93">
        <f>IF(C11="Completed",1,IF(C11="In Progress",0.5,0))</f>
        <v/>
      </c>
    </row>
    <row r="12">
      <c r="A12" s="95" t="inlineStr">
        <is>
          <t>2. Employee Features</t>
        </is>
      </c>
      <c r="B12" s="91" t="inlineStr">
        <is>
          <t>paid_days / lwop_days split + reserve credits</t>
        </is>
      </c>
      <c r="C12" s="92" t="inlineStr">
        <is>
          <t>Completed</t>
        </is>
      </c>
      <c r="D12" s="93">
        <f>IF(C12="Completed",1,IF(C12="In Progress",0.5,0))</f>
        <v/>
      </c>
    </row>
    <row r="13">
      <c r="A13" s="95" t="inlineStr">
        <is>
          <t>2. Employee Features</t>
        </is>
      </c>
      <c r="B13" s="91" t="inlineStr">
        <is>
          <t>Snapshot approval requirements at submit</t>
        </is>
      </c>
      <c r="C13" s="92" t="inlineStr">
        <is>
          <t>Completed</t>
        </is>
      </c>
      <c r="D13" s="93">
        <f>IF(C13="Completed",1,IF(C13="In Progress",0.5,0))</f>
        <v/>
      </c>
    </row>
    <row r="14">
      <c r="A14" s="95" t="inlineStr">
        <is>
          <t>2. Employee Features</t>
        </is>
      </c>
      <c r="B14" s="91" t="inlineStr">
        <is>
          <t>File on behalf (filed_by_emp_id / Group Leader)</t>
        </is>
      </c>
      <c r="C14" s="92" t="inlineStr">
        <is>
          <t>Completed</t>
        </is>
      </c>
      <c r="D14" s="93">
        <f>IF(C14="Completed",1,IF(C14="In Progress",0.5,0))</f>
        <v/>
      </c>
    </row>
    <row r="15">
      <c r="A15" s="95" t="inlineStr">
        <is>
          <t>2. Employee Features</t>
        </is>
      </c>
      <c r="B15" s="91" t="inlineStr">
        <is>
          <t>Attachments — store / replace / download</t>
        </is>
      </c>
      <c r="C15" s="92" t="inlineStr">
        <is>
          <t>Completed</t>
        </is>
      </c>
      <c r="D15" s="93">
        <f>IF(C15="Completed",1,IF(C15="In Progress",0.5,0))</f>
        <v/>
      </c>
    </row>
    <row r="16">
      <c r="A16" s="95" t="inlineStr">
        <is>
          <t>2. Employee Features</t>
        </is>
      </c>
      <c r="B16" s="91" t="inlineStr">
        <is>
          <t>GET /leaves — list / LeaveResource</t>
        </is>
      </c>
      <c r="C16" s="92" t="inlineStr">
        <is>
          <t>Completed</t>
        </is>
      </c>
      <c r="D16" s="93">
        <f>IF(C16="Completed",1,IF(C16="In Progress",0.5,0))</f>
        <v/>
      </c>
    </row>
    <row r="17">
      <c r="A17" s="95" t="inlineStr">
        <is>
          <t>2. Employee Features</t>
        </is>
      </c>
      <c r="B17" s="91" t="inlineStr">
        <is>
          <t>PUT/POST /leaves/{id} — modify while pending</t>
        </is>
      </c>
      <c r="C17" s="92" t="inlineStr">
        <is>
          <t>Completed</t>
        </is>
      </c>
      <c r="D17" s="93">
        <f>IF(C17="Completed",1,IF(C17="In Progress",0.5,0))</f>
        <v/>
      </c>
    </row>
    <row r="18">
      <c r="A18" s="95" t="inlineStr">
        <is>
          <t>2. Employee Features</t>
        </is>
      </c>
      <c r="B18" s="91" t="inlineStr">
        <is>
          <t>POST /leaves/{id}/cancel</t>
        </is>
      </c>
      <c r="C18" s="92" t="inlineStr">
        <is>
          <t>Completed</t>
        </is>
      </c>
      <c r="D18" s="93">
        <f>IF(C18="Completed",1,IF(C18="In Progress",0.5,0))</f>
        <v/>
      </c>
    </row>
    <row r="19">
      <c r="A19" s="95" t="inlineStr">
        <is>
          <t>2. Employee Features</t>
        </is>
      </c>
      <c r="B19" s="91" t="inlineStr">
        <is>
          <t>GET /balances — read leave credits</t>
        </is>
      </c>
      <c r="C19" s="92" t="inlineStr">
        <is>
          <t>Completed</t>
        </is>
      </c>
      <c r="D19" s="93">
        <f>IF(C19="Completed",1,IF(C19="In Progress",0.5,0))</f>
        <v/>
      </c>
    </row>
    <row r="20">
      <c r="A20" s="95" t="inlineStr">
        <is>
          <t>2. Employee Features</t>
        </is>
      </c>
      <c r="B20" s="91" t="inlineStr">
        <is>
          <t>Email notify approvers on submit</t>
        </is>
      </c>
      <c r="C20" s="92" t="inlineStr">
        <is>
          <t>Completed</t>
        </is>
      </c>
      <c r="D20" s="93">
        <f>IF(C20="Completed",1,IF(C20="In Progress",0.5,0))</f>
        <v/>
      </c>
    </row>
    <row r="21">
      <c r="A21" s="95" t="inlineStr">
        <is>
          <t>2. Employee Features</t>
        </is>
      </c>
      <c r="B21" s="91" t="inlineStr">
        <is>
          <t>Reject notify to employee / filer</t>
        </is>
      </c>
      <c r="C21" s="96" t="inlineStr">
        <is>
          <t>Not Started</t>
        </is>
      </c>
      <c r="D21" s="93">
        <f>IF(C21="Completed",1,IF(C21="In Progress",0.5,0))</f>
        <v/>
      </c>
    </row>
    <row r="22">
      <c r="A22" s="95" t="inlineStr">
        <is>
          <t>2. Employee Features</t>
        </is>
      </c>
      <c r="B22" s="91" t="inlineStr">
        <is>
          <t>Notify next-tier approvers after partial approve</t>
        </is>
      </c>
      <c r="C22" s="96" t="inlineStr">
        <is>
          <t>Not Started</t>
        </is>
      </c>
      <c r="D22" s="93">
        <f>IF(C22="Completed",1,IF(C22="In Progress",0.5,0))</f>
        <v/>
      </c>
    </row>
    <row r="23">
      <c r="A23" s="95" t="inlineStr">
        <is>
          <t>2. Employee Features</t>
        </is>
      </c>
      <c r="B23" s="91" t="inlineStr">
        <is>
          <t>Submit flows for other leave types (EL/ML/PL/PTB/LL)</t>
        </is>
      </c>
      <c r="C23" s="96" t="inlineStr">
        <is>
          <t>Not Started</t>
        </is>
      </c>
      <c r="D23" s="93">
        <f>IF(C23="Completed",1,IF(C23="In Progress",0.5,0))</f>
        <v/>
      </c>
    </row>
    <row r="24">
      <c r="A24" s="97" t="inlineStr">
        <is>
          <t>3. Approver Features</t>
        </is>
      </c>
      <c r="B24" s="91" t="inlineStr">
        <is>
          <t>GET /approvals/pending — formspic group scope</t>
        </is>
      </c>
      <c r="C24" s="92" t="inlineStr">
        <is>
          <t>Completed</t>
        </is>
      </c>
      <c r="D24" s="93">
        <f>IF(C24="Completed",1,IF(C24="In Progress",0.5,0))</f>
        <v/>
      </c>
    </row>
    <row r="25">
      <c r="A25" s="97" t="inlineStr">
        <is>
          <t>3. Approver Features</t>
        </is>
      </c>
      <c r="B25" s="91" t="inlineStr">
        <is>
          <t>Approve path — partially_approved → confirmed</t>
        </is>
      </c>
      <c r="C25" s="92" t="inlineStr">
        <is>
          <t>Completed</t>
        </is>
      </c>
      <c r="D25" s="93">
        <f>IF(C25="Completed",1,IF(C25="In Progress",0.5,0))</f>
        <v/>
      </c>
    </row>
    <row r="26">
      <c r="A26" s="97" t="inlineStr">
        <is>
          <t>3. Approver Features</t>
        </is>
      </c>
      <c r="B26" s="91" t="inlineStr">
        <is>
          <t>Reject path — close leave + release reserve</t>
        </is>
      </c>
      <c r="C26" s="92" t="inlineStr">
        <is>
          <t>Completed</t>
        </is>
      </c>
      <c r="D26" s="93">
        <f>IF(C26="Completed",1,IF(C26="In Progress",0.5,0))</f>
        <v/>
      </c>
    </row>
    <row r="27">
      <c r="A27" s="97" t="inlineStr">
        <is>
          <t>3. Approver Features</t>
        </is>
      </c>
      <c r="B27" s="91" t="inlineStr">
        <is>
          <t>Approval policy matrix (regular → P4 / president)</t>
        </is>
      </c>
      <c r="C27" s="92" t="inlineStr">
        <is>
          <t>Completed</t>
        </is>
      </c>
      <c r="D27" s="93">
        <f>IF(C27="Completed",1,IF(C27="In Progress",0.5,0))</f>
        <v/>
      </c>
    </row>
    <row r="28">
      <c r="A28" s="97" t="inlineStr">
        <is>
          <t>3. Approver Features</t>
        </is>
      </c>
      <c r="B28" s="91" t="inlineStr">
        <is>
          <t>Finalize — confirmPaidDays / skip ledger if full LWOP</t>
        </is>
      </c>
      <c r="C28" s="92" t="inlineStr">
        <is>
          <t>Completed</t>
        </is>
      </c>
      <c r="D28" s="93">
        <f>IF(C28="Completed",1,IF(C28="In Progress",0.5,0))</f>
        <v/>
      </c>
    </row>
    <row r="29">
      <c r="A29" s="97" t="inlineStr">
        <is>
          <t>3. Approver Features</t>
        </is>
      </c>
      <c r="B29" s="91" t="inlineStr">
        <is>
          <t>Notify employee on confirm</t>
        </is>
      </c>
      <c r="C29" s="92" t="inlineStr">
        <is>
          <t>Completed</t>
        </is>
      </c>
      <c r="D29" s="93">
        <f>IF(C29="Completed",1,IF(C29="In Progress",0.5,0))</f>
        <v/>
      </c>
    </row>
    <row r="30">
      <c r="A30" s="97" t="inlineStr">
        <is>
          <t>3. Approver Features</t>
        </is>
      </c>
      <c r="B30" s="91" t="inlineStr">
        <is>
          <t>President fallback verify (staging emp ID)</t>
        </is>
      </c>
      <c r="C30" s="94" t="inlineStr">
        <is>
          <t>In Progress</t>
        </is>
      </c>
      <c r="D30" s="93">
        <f>IF(C30="Completed",1,IF(C30="In Progress",0.5,0))</f>
        <v/>
      </c>
    </row>
    <row r="31">
      <c r="A31" s="97" t="inlineStr">
        <is>
          <t>3. Approver Features</t>
        </is>
      </c>
      <c r="B31" s="91" t="inlineStr">
        <is>
          <t>Stakeholder — special group rules (KRM / checkTier)</t>
        </is>
      </c>
      <c r="C31" s="96" t="inlineStr">
        <is>
          <t>Not Started</t>
        </is>
      </c>
      <c r="D31" s="93">
        <f>IF(C31="Completed",1,IF(C31="In Progress",0.5,0))</f>
        <v/>
      </c>
    </row>
    <row r="32">
      <c r="A32" s="97" t="inlineStr">
        <is>
          <t>3. Approver Features</t>
        </is>
      </c>
      <c r="B32" s="91" t="inlineStr">
        <is>
          <t>Admin-requirement approval paths for other leave types</t>
        </is>
      </c>
      <c r="C32" s="96" t="inlineStr">
        <is>
          <t>Not Started</t>
        </is>
      </c>
      <c r="D32" s="93">
        <f>IF(C32="Completed",1,IF(C32="In Progress",0.5,0))</f>
        <v/>
      </c>
    </row>
    <row r="33">
      <c r="A33" s="98" t="inlineStr">
        <is>
          <t>4. Admin Features</t>
        </is>
      </c>
      <c r="B33" s="91" t="inlineStr">
        <is>
          <t>leave_conversion schema + model + enums</t>
        </is>
      </c>
      <c r="C33" s="92" t="inlineStr">
        <is>
          <t>Completed</t>
        </is>
      </c>
      <c r="D33" s="93">
        <f>IF(C33="Completed",1,IF(C33="In Progress",0.5,0))</f>
        <v/>
      </c>
    </row>
    <row r="34">
      <c r="A34" s="98" t="inlineStr">
        <is>
          <t>4. Admin Features</t>
        </is>
      </c>
      <c r="B34" s="91" t="inlineStr">
        <is>
          <t>Opening balances policy — manual entry (no legacy leave import)</t>
        </is>
      </c>
      <c r="C34" s="92" t="inlineStr">
        <is>
          <t>Completed</t>
        </is>
      </c>
      <c r="D34" s="93">
        <f>IF(C34="Completed",1,IF(C34="In Progress",0.5,0))</f>
        <v/>
      </c>
    </row>
    <row r="35">
      <c r="A35" s="98" t="inlineStr">
        <is>
          <t>4. Admin Features</t>
        </is>
      </c>
      <c r="B35" s="91" t="inlineStr">
        <is>
          <t>applyInitialBalance + applyManualAdjustment (service)</t>
        </is>
      </c>
      <c r="C35" s="92" t="inlineStr">
        <is>
          <t>Completed</t>
        </is>
      </c>
      <c r="D35" s="93">
        <f>IF(C35="Completed",1,IF(C35="In Progress",0.5,0))</f>
        <v/>
      </c>
    </row>
    <row r="36">
      <c r="A36" s="98" t="inlineStr">
        <is>
          <t>4. Admin Features</t>
        </is>
      </c>
      <c r="B36" s="91" t="inlineStr">
        <is>
          <t>Admin/HR API — set opening balance (manual from legacy)</t>
        </is>
      </c>
      <c r="C36" s="96" t="inlineStr">
        <is>
          <t>Not Started</t>
        </is>
      </c>
      <c r="D36" s="93">
        <f>IF(C36="Completed",1,IF(C36="In Progress",0.5,0))</f>
        <v/>
      </c>
    </row>
    <row r="37">
      <c r="A37" s="98" t="inlineStr">
        <is>
          <t>4. Admin Features</t>
        </is>
      </c>
      <c r="B37" s="91" t="inlineStr">
        <is>
          <t>Admin/HR API — manual adjust with remarks</t>
        </is>
      </c>
      <c r="C37" s="96" t="inlineStr">
        <is>
          <t>Not Started</t>
        </is>
      </c>
      <c r="D37" s="93">
        <f>IF(C37="Completed",1,IF(C37="In Progress",0.5,0))</f>
        <v/>
      </c>
    </row>
    <row r="38">
      <c r="A38" s="98" t="inlineStr">
        <is>
          <t>4. Admin Features</t>
        </is>
      </c>
      <c r="B38" s="91" t="inlineStr">
        <is>
          <t>VL → SL conversion request + med cert upload</t>
        </is>
      </c>
      <c r="C38" s="96" t="inlineStr">
        <is>
          <t>Not Started</t>
        </is>
      </c>
      <c r="D38" s="93">
        <f>IF(C38="Completed",1,IF(C38="In Progress",0.5,0))</f>
        <v/>
      </c>
    </row>
    <row r="39">
      <c r="A39" s="98" t="inlineStr">
        <is>
          <t>4. Admin Features</t>
        </is>
      </c>
      <c r="B39" s="91" t="inlineStr">
        <is>
          <t>Admin conversion review — approve / reject</t>
        </is>
      </c>
      <c r="C39" s="96" t="inlineStr">
        <is>
          <t>Not Started</t>
        </is>
      </c>
      <c r="D39" s="93">
        <f>IF(C39="Completed",1,IF(C39="In Progress",0.5,0))</f>
        <v/>
      </c>
    </row>
    <row r="40">
      <c r="A40" s="98" t="inlineStr">
        <is>
          <t>4. Admin Features</t>
        </is>
      </c>
      <c r="B40" s="91" t="inlineStr">
        <is>
          <t>Conversion balance — vl_to_sl_restore + deduct</t>
        </is>
      </c>
      <c r="C40" s="96" t="inlineStr">
        <is>
          <t>Not Started</t>
        </is>
      </c>
      <c r="D40" s="93">
        <f>IF(C40="Completed",1,IF(C40="In Progress",0.5,0))</f>
        <v/>
      </c>
    </row>
    <row r="41">
      <c r="A41" s="98" t="inlineStr">
        <is>
          <t>4. Admin Features</t>
        </is>
      </c>
      <c r="B41" s="91" t="inlineStr">
        <is>
          <t>Conversion notify outcome</t>
        </is>
      </c>
      <c r="C41" s="96" t="inlineStr">
        <is>
          <t>Not Started</t>
        </is>
      </c>
      <c r="D41" s="93">
        <f>IF(C41="Completed",1,IF(C41="In Progress",0.5,0))</f>
        <v/>
      </c>
    </row>
    <row r="42">
      <c r="A42" s="98" t="inlineStr">
        <is>
          <t>4. Admin Features</t>
        </is>
      </c>
      <c r="B42" s="91" t="inlineStr">
        <is>
          <t>applyAnnualEntitlement / monthly accrual / jobs</t>
        </is>
      </c>
      <c r="C42" s="96" t="inlineStr">
        <is>
          <t>Not Started</t>
        </is>
      </c>
      <c r="D42" s="93">
        <f>IF(C42="Completed",1,IF(C42="In Progress",0.5,0))</f>
        <v/>
      </c>
    </row>
    <row r="43">
      <c r="A43" s="98" t="inlineStr">
        <is>
          <t>4. Admin Features</t>
        </is>
      </c>
      <c r="B43" s="91" t="inlineStr">
        <is>
          <t>reverseConfirmedLeave (admin undo)</t>
        </is>
      </c>
      <c r="C43" s="96" t="inlineStr">
        <is>
          <t>Not Started</t>
        </is>
      </c>
      <c r="D43" s="93">
        <f>IF(C43="Completed",1,IF(C43="In Progress",0.5,0))</f>
        <v/>
      </c>
    </row>
    <row r="44">
      <c r="A44" s="98" t="inlineStr">
        <is>
          <t>4. Admin Features</t>
        </is>
      </c>
      <c r="B44" s="91" t="inlineStr">
        <is>
          <t>Report API — sum confirmed leave_info</t>
        </is>
      </c>
      <c r="C44" s="96" t="inlineStr">
        <is>
          <t>Not Started</t>
        </is>
      </c>
      <c r="D44" s="93">
        <f>IF(C44="Completed",1,IF(C44="In Progress",0.5,0))</f>
        <v/>
      </c>
    </row>
    <row r="45">
      <c r="A45" s="98" t="inlineStr">
        <is>
          <t>4. Admin Features</t>
        </is>
      </c>
      <c r="B45" s="91" t="inlineStr">
        <is>
          <t>Quarterly absence warnings</t>
        </is>
      </c>
      <c r="C45" s="96" t="inlineStr">
        <is>
          <t>Not Started</t>
        </is>
      </c>
      <c r="D45" s="93">
        <f>IF(C45="Completed",1,IF(C45="In Progress",0.5,0))</f>
        <v/>
      </c>
    </row>
    <row r="46">
      <c r="A46" s="98" t="inlineStr">
        <is>
          <t>4. Admin Features</t>
        </is>
      </c>
      <c r="B46" s="91" t="inlineStr">
        <is>
          <t>Other leave types — admin requirement rows + stakeholder sets</t>
        </is>
      </c>
      <c r="C46" s="96" t="inlineStr">
        <is>
          <t>Not Started</t>
        </is>
      </c>
      <c r="D46" s="93">
        <f>IF(C46="Completed",1,IF(C46="In Progress",0.5,0))</f>
        <v/>
      </c>
    </row>
    <row r="47">
      <c r="A47" s="99" t="inlineStr">
        <is>
          <t>5. Frontend Integration (TBD)</t>
        </is>
      </c>
      <c r="B47" s="91" t="inlineStr">
        <is>
          <t>Wire FE screens to real API routes</t>
        </is>
      </c>
      <c r="C47" s="94" t="inlineStr">
        <is>
          <t>In Progress</t>
        </is>
      </c>
      <c r="D47" s="93">
        <f>IF(C47="Completed",1,IF(C47="In Progress",0.5,0))</f>
        <v/>
      </c>
    </row>
    <row r="48">
      <c r="A48" s="99" t="inlineStr">
        <is>
          <t>5. Frontend Integration (TBD)</t>
        </is>
      </c>
      <c r="B48" s="91" t="inlineStr">
        <is>
          <t>Portal cookie / CORS / env per environment</t>
        </is>
      </c>
      <c r="C48" s="94" t="inlineStr">
        <is>
          <t>In Progress</t>
        </is>
      </c>
      <c r="D48" s="93">
        <f>IF(C48="Completed",1,IF(C48="In Progress",0.5,0))</f>
        <v/>
      </c>
    </row>
    <row r="49">
      <c r="A49" s="99" t="inlineStr">
        <is>
          <t>5. Frontend Integration (TBD)</t>
        </is>
      </c>
      <c r="B49" s="91" t="inlineStr">
        <is>
          <t>Contract alignment — LeaveResource / balances payloads</t>
        </is>
      </c>
      <c r="C49" s="94" t="inlineStr">
        <is>
          <t>In Progress</t>
        </is>
      </c>
      <c r="D49" s="93">
        <f>IF(C49="Completed",1,IF(C49="In Progress",0.5,0))</f>
        <v/>
      </c>
    </row>
    <row r="50">
      <c r="A50" s="99" t="inlineStr">
        <is>
          <t>5. Frontend Integration (TBD)</t>
        </is>
      </c>
      <c r="B50" s="91" t="inlineStr">
        <is>
          <t>End-to-end smoke: submit → approve → confirm</t>
        </is>
      </c>
      <c r="C50" s="96" t="inlineStr">
        <is>
          <t>Not Started</t>
        </is>
      </c>
      <c r="D50" s="93">
        <f>IF(C50="Completed",1,IF(C50="In Progress",0.5,0))</f>
        <v/>
      </c>
    </row>
    <row r="51">
      <c r="A51" s="100" t="inlineStr">
        <is>
          <t>6. Testing (after development)</t>
        </is>
      </c>
      <c r="B51" s="91" t="inlineStr">
        <is>
          <t>Feature tests — submit / approve / reject / cancel</t>
        </is>
      </c>
      <c r="C51" s="96" t="inlineStr">
        <is>
          <t>Not Started</t>
        </is>
      </c>
      <c r="D51" s="93">
        <f>IF(C51="Completed",1,IF(C51="In Progress",0.5,0))</f>
        <v/>
      </c>
    </row>
    <row r="52">
      <c r="A52" s="100" t="inlineStr">
        <is>
          <t>6. Testing (after development)</t>
        </is>
      </c>
      <c r="B52" s="91" t="inlineStr">
        <is>
          <t>Balance ledger invariant tests</t>
        </is>
      </c>
      <c r="C52" s="96" t="inlineStr">
        <is>
          <t>Not Started</t>
        </is>
      </c>
      <c r="D52" s="93">
        <f>IF(C52="Completed",1,IF(C52="In Progress",0.5,0))</f>
        <v/>
      </c>
    </row>
    <row r="53">
      <c r="A53" s="100" t="inlineStr">
        <is>
          <t>6. Testing (after development)</t>
        </is>
      </c>
      <c r="B53" s="91" t="inlineStr">
        <is>
          <t>Approval policy matrix tests</t>
        </is>
      </c>
      <c r="C53" s="96" t="inlineStr">
        <is>
          <t>Not Started</t>
        </is>
      </c>
      <c r="D53" s="93">
        <f>IF(C53="Completed",1,IF(C53="In Progress",0.5,0))</f>
        <v/>
      </c>
    </row>
    <row r="54">
      <c r="A54" s="100" t="inlineStr">
        <is>
          <t>6. Testing (after development)</t>
        </is>
      </c>
      <c r="B54" s="91" t="inlineStr">
        <is>
          <t>Conversion + notification tests</t>
        </is>
      </c>
      <c r="C54" s="96" t="inlineStr">
        <is>
          <t>Not Started</t>
        </is>
      </c>
      <c r="D54" s="93">
        <f>IF(C54="Completed",1,IF(C54="In Progress",0.5,0))</f>
        <v/>
      </c>
    </row>
    <row r="55">
      <c r="A55" s="101" t="inlineStr">
        <is>
          <t>7. Documentation (after development)</t>
        </is>
      </c>
      <c r="B55" s="91" t="inlineStr">
        <is>
          <t>API endpoint notes for FE partner</t>
        </is>
      </c>
      <c r="C55" s="96" t="inlineStr">
        <is>
          <t>Not Started</t>
        </is>
      </c>
      <c r="D55" s="93">
        <f>IF(C55="Completed",1,IF(C55="In Progress",0.5,0))</f>
        <v/>
      </c>
    </row>
    <row r="56">
      <c r="A56" s="101" t="inlineStr">
        <is>
          <t>7. Documentation (after development)</t>
        </is>
      </c>
      <c r="B56" s="91" t="inlineStr">
        <is>
          <t>Manual opening-balance process notes for HR</t>
        </is>
      </c>
      <c r="C56" s="96" t="inlineStr">
        <is>
          <t>Not Started</t>
        </is>
      </c>
      <c r="D56" s="93">
        <f>IF(C56="Completed",1,IF(C56="In Progress",0.5,0))</f>
        <v/>
      </c>
    </row>
    <row r="57">
      <c r="A57" s="101" t="inlineStr">
        <is>
          <t>7. Documentation (after development)</t>
        </is>
      </c>
      <c r="B57" s="91" t="inlineStr">
        <is>
          <t>Env / portal cookie cutover checklist</t>
        </is>
      </c>
      <c r="C57" s="96" t="inlineStr">
        <is>
          <t>Not Started</t>
        </is>
      </c>
      <c r="D57" s="93">
        <f>IF(C57="Completed",1,IF(C57="In Progress",0.5,0))</f>
        <v/>
      </c>
    </row>
    <row r="59">
      <c r="A59" s="102" t="inlineStr">
        <is>
          <t>Commitment: backend DEVELOPMENT by end of August (weekdays). Phases 2–3 are Partial (VL only) until other leave types are done. Testing &amp; Documentation after development (from Sep 2026). Legacy leaves stay in legacy app; opening balances entered manually. Change Status in column C — Progress % and the Backend Tentative Schedule summary update automatically.</t>
        </is>
      </c>
    </row>
  </sheetData>
  <autoFilter ref="A1:D57"/>
  <mergeCells count="1">
    <mergeCell ref="A59:D59"/>
  </mergeCells>
  <dataValidations count="1">
    <dataValidation sqref="C2:C57" showDropDown="0" showInputMessage="0" showErrorMessage="0" allowBlank="0" errorTitle="Invalid status" error="Pick Completed, In Progress, Not Started, or Blocked" type="list">
      <formula1>"Completed,In Progress,Not Started,Blocked"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Rhanzces Julia O. Herrera</dc:creator>
  <dcterms:created xsi:type="dcterms:W3CDTF">2015-06-05T18:17:20Z</dcterms:created>
  <dcterms:modified xsi:type="dcterms:W3CDTF">2026-07-22T09:09:09Z</dcterms:modified>
  <cp:lastModifiedBy>REYES,Dave/ＲＥＹＥＳ ＤＡＶＥ　Ｃ．</cp:lastModifiedBy>
</cp:coreProperties>
</file>